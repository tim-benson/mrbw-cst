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mc:AlternateContent xmlns:mc="http://schemas.openxmlformats.org/markup-compatibility/2006">
    <mc:Choice Requires="x15">
      <x15ac:absPath xmlns:x15ac="http://schemas.microsoft.com/office/spreadsheetml/2010/11/ac" url="/Users/timb/Dropbox/Trains/BLW/BLW ProtoThrottle/Code/mrbw-cst/doc/"/>
    </mc:Choice>
  </mc:AlternateContent>
  <xr:revisionPtr revIDLastSave="0" documentId="8_{FA48794F-28A8-B540-AE77-BAA55747C0A5}" xr6:coauthVersionLast="47" xr6:coauthVersionMax="47" xr10:uidLastSave="{00000000-0000-0000-0000-000000000000}"/>
  <bookViews>
    <workbookView xWindow="10760" yWindow="3940" windowWidth="21780" windowHeight="15360" xr2:uid="{00000000-000D-0000-FFFF-FFFF00000000}"/>
  </bookViews>
  <sheets>
    <sheet name="Calculator" sheetId="1" r:id="rId1"/>
    <sheet name="Notes" sheetId="2" r:id="rId2"/>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5" i="1" l="1"/>
  <c r="J16" i="1" s="1"/>
  <c r="I15" i="1"/>
  <c r="I16" i="1" s="1"/>
  <c r="H15" i="1"/>
  <c r="H16" i="1" s="1"/>
  <c r="G15" i="1"/>
  <c r="G16" i="1" s="1"/>
  <c r="F15" i="1"/>
  <c r="F16" i="1" s="1"/>
  <c r="E15" i="1"/>
  <c r="E16" i="1" s="1"/>
  <c r="D15" i="1"/>
  <c r="D16" i="1" s="1"/>
  <c r="C15" i="1"/>
  <c r="C16" i="1" s="1"/>
  <c r="J13" i="1"/>
  <c r="J14" i="1" s="1"/>
  <c r="I13" i="1"/>
  <c r="I14" i="1" s="1"/>
  <c r="H13" i="1"/>
  <c r="H14" i="1" s="1"/>
  <c r="G13" i="1"/>
  <c r="G14" i="1" s="1"/>
  <c r="F13" i="1"/>
  <c r="F14" i="1" s="1"/>
  <c r="E13" i="1"/>
  <c r="E14" i="1" s="1"/>
  <c r="D13" i="1"/>
  <c r="D14" i="1" s="1"/>
  <c r="C13" i="1"/>
  <c r="C14"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ProtoThrottle X</author>
  </authors>
  <commentList>
    <comment ref="J12" authorId="0" shapeId="0" xr:uid="{00000000-0006-0000-0000-000001000000}">
      <text>
        <r>
          <rPr>
            <sz val="11"/>
            <color theme="1"/>
            <rFont val="Calibri"/>
            <family val="2"/>
            <scheme val="minor"/>
          </rPr>
          <t>Fixed at 126: the top of the 0-126 DCC speed-step range (128-step addressing, step 0 = stop). Notch 8 must always be full throttle, so it is not an editable input.</t>
        </r>
      </text>
    </comment>
    <comment ref="B13" authorId="0" shapeId="0" xr:uid="{00000000-0006-0000-0000-000002000000}">
      <text>
        <r>
          <rPr>
            <sz val="11"/>
            <color theme="1"/>
            <rFont val="Calibri"/>
            <family val="2"/>
            <scheme val="minor"/>
          </rPr>
          <t>The ESU decoder converts the incoming DCC speed step into its own internal "Requested Speed" on a 0-252 scale before the speed curve/momentum is applied. This conversion is confirmed by hardware measurement to be non-linear — see the Notes tab.</t>
        </r>
      </text>
    </comment>
    <comment ref="B14" authorId="0" shapeId="0" xr:uid="{00000000-0006-0000-0000-000003000000}">
      <text>
        <r>
          <rPr>
            <sz val="11"/>
            <color theme="1"/>
            <rFont val="Calibri"/>
            <family val="2"/>
            <scheme val="minor"/>
          </rPr>
          <t>The value to type into the decoder's notch-up sound-slot SoundCV field. Requested Speed minus 1 is the tightest threshold that still reliably fires at this notch and not the one below it — see the Notes tab.</t>
        </r>
      </text>
    </comment>
  </commentList>
</comments>
</file>

<file path=xl/sharedStrings.xml><?xml version="1.0" encoding="utf-8"?>
<sst xmlns="http://schemas.openxmlformats.org/spreadsheetml/2006/main" count="27" uniqueCount="27">
  <si>
    <t>ProtoThrottle X — ESU Notch SoundCV Calculator</t>
  </si>
  <si>
    <t>For ESU LokSound V5 (DCC) decoders. See the Notes tab for usage instructions and scope.</t>
  </si>
  <si>
    <t>Your input:</t>
  </si>
  <si>
    <t>Fixed (not editable):</t>
  </si>
  <si>
    <t>Calculated automatically:</t>
  </si>
  <si>
    <t>Max Speed (mph):</t>
  </si>
  <si>
    <t>Scale speed at full throttle (Notch 8, throttle step 126). Assumes a linearised decoder speed table — see Notes.</t>
  </si>
  <si>
    <t>Notch:</t>
  </si>
  <si>
    <t>ProtoThrottle Notch Speed (0-126)</t>
  </si>
  <si>
    <t>ESU Requested Speed</t>
  </si>
  <si>
    <t>SoundCV to enter (tightest margin)</t>
  </si>
  <si>
    <t>Scale mph</t>
  </si>
  <si>
    <t>Scale mph (rounded)</t>
  </si>
  <si>
    <t>A red cell in the Requested Speed row means this notch cannot be told apart from the one before it — see “About the collision warning” on the Notes tab.</t>
  </si>
  <si>
    <t>Notes — Usage and Scope</t>
  </si>
  <si>
    <t>What this calculator does</t>
  </si>
  <si>
    <t>Converts a ProtoThrottle notch position (throttle step 0-126) into the SoundCV threshold to enter in an ESU LokSound V5 (DCC) decoder so that decoder's notch-up sound triggers at exactly that throttle position, with the tightest reliable margin. It also shows the approximate real-world scale speed at which each notch fires, for sanity-checking your choices against your locomotive's actual performance.</t>
  </si>
  <si>
    <t>How ESU notch-up sound thresholds work</t>
  </si>
  <si>
    <t>The ESU decoder does not compare the DCC speed step to your SoundCV value directly. It first converts the incoming speed step into its own internal “Requested Speed” value on a 0-252 scale, then fires a notch-up sound slot once Requested Speed reaches SoundCV + 1. This conversion is not a simple doubling of the throttle step — it is close to double at the top of the range but adds a larger boost at lower throttle positions, in three distinct steps. A SoundCV value fitted only from high-notch behaviour will therefore be wrong for lower notches. This calculator applies the full, hardware-confirmed conversion at every notch, so this does not need to be worked out by hand.</t>
  </si>
  <si>
    <t>How to use it</t>
  </si>
  <si>
    <t>1. On the Calculator tab, enter your Max Speed (the real-world scale mph you want at full throttle, Notch 8).
2. Enter the throttle position (0-126) where you want each of Notch 1 through Notch 7 to trigger. Notch 8 is always the top of the range (126) and is not editable.
3. Read the “SoundCV to enter” row and type each value into the matching notch-up sound-slot condition in your decoder programming software (for example ESU LokProgrammer).
4. Use the Scale mph rows to check that each notch triggers at a speed that matches how the real locomotive sounds and feels at that throttle position, adjusting the notch positions in step 2 as needed.</t>
  </si>
  <si>
    <t>About the collision warning</t>
  </si>
  <si>
    <t>Because the throttle-step-to-Requested-Speed conversion is not perfectly smooth, three pairs of adjacent throttle steps happen to produce the exact same internal Requested Speed value. If two of your chosen notch positions fall on one of these pairs, the decoder genuinely cannot tell them apart, and no SoundCV value can make the higher notch fire without the lower one also having already fired. The Calculator tab highlights this in red on the Requested Speed row so it is visible immediately — if you see it, move one of the two notch positions to a different throttle step.</t>
  </si>
  <si>
    <t>Scope and limitations</t>
  </si>
  <si>
    <t>• The Requested Speed conversion is confirmed by direct hardware measurement across the full 0-126 ProtoThrottle throttle range, specifically for the ESU LokSound 5 DCC decoder. It has not been independently verified for other ESU decoder families (for example LokSound/LokPilot V4 or multiProtocol variants), though the same general conversion is expected.
• The Scale mph columns assume the decoder's own speed table (CV67-94) has been linearised, so real-world speed scales proportionally with the commanded DCC speed step across the full range. A non-linear or uncalibrated speed table will make the Scale mph columns inaccurate, but does not affect the Requested Speed or SoundCV values above them, since those are computed upstream of the speed table.
• SoundCV is the tightest value that still reliably triggers at the intended notch. It assumes the decoder's sound-slot comparison is a plain “Requested Speed ≥ SoundCV + 1” threshold, as confirmed by boundary-search testing on real hardware.</t>
  </si>
  <si>
    <t>Formula reference</t>
  </si>
  <si>
    <t>Requested Speed(n) = 2 × (n + 3 − FLOOR((n + 17) / 39)), for throttle step n = 1-126 (0 at n = 0)
SoundCV(n) = Requested Speed(n) − 1
Scale mph(n) = n × (Max Speed / 126)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</si>
</sst>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1"/>
      <color theme="1"/>
      <name val="Calibri"/>
      <family val="2"/>
      <scheme val="minor"/>
    </font>
    <font>
      <b/>
      <sz val="16"/>
      <color rgb="FF1F3864"/>
      <name val="Arial"/>
      <family val="2"/>
    </font>
    <font>
      <i/>
      <sz val="10"/>
      <color rgb="FF595959"/>
      <name val="Arial"/>
      <family val="2"/>
    </font>
    <font>
      <sz val="9"/>
      <color rgb="FF404040"/>
      <name val="Arial"/>
      <family val="2"/>
    </font>
    <font>
      <b/>
      <sz val="10"/>
      <color rgb="FF1F3864"/>
      <name val="Arial"/>
      <family val="2"/>
    </font>
    <font>
      <b/>
      <sz val="10"/>
      <color rgb="FF1F4E78"/>
      <name val="Arial"/>
      <family val="2"/>
    </font>
    <font>
      <i/>
      <sz val="9"/>
      <color rgb="FF808080"/>
      <name val="Arial"/>
      <family val="2"/>
    </font>
    <font>
      <b/>
      <sz val="10"/>
      <color rgb="FFFFFFFF"/>
      <name val="Arial"/>
      <family val="2"/>
    </font>
    <font>
      <sz val="10"/>
      <color rgb="FF595959"/>
      <name val="Arial"/>
      <family val="2"/>
    </font>
    <font>
      <sz val="10"/>
      <color rgb="FF000000"/>
      <name val="Arial"/>
      <family val="2"/>
    </font>
    <font>
      <b/>
      <sz val="12"/>
      <color rgb="FF1F3864"/>
      <name val="Arial"/>
      <family val="2"/>
    </font>
  </fonts>
  <fills count="7">
    <fill>
      <patternFill patternType="none"/>
    </fill>
    <fill>
      <patternFill patternType="gray125"/>
    </fill>
    <fill>
      <patternFill patternType="solid">
        <fgColor rgb="FFFFF2CC"/>
      </patternFill>
    </fill>
    <fill>
      <patternFill patternType="solid">
        <fgColor rgb="FFD9D9D9"/>
      </patternFill>
    </fill>
    <fill>
      <patternFill patternType="solid">
        <fgColor rgb="FFFFFFFF"/>
      </patternFill>
    </fill>
    <fill>
      <patternFill patternType="solid">
        <fgColor rgb="FF2F5496"/>
      </patternFill>
    </fill>
    <fill>
      <patternFill patternType="solid">
        <fgColor rgb="FFD9E1F2"/>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21">
    <xf numFmtId="0" fontId="0" fillId="0" borderId="0" xfId="0"/>
    <xf numFmtId="0" fontId="0" fillId="2" borderId="1" xfId="0" applyFill="1" applyBorder="1"/>
    <xf numFmtId="0" fontId="3" fillId="0" borderId="0" xfId="0" applyFont="1"/>
    <xf numFmtId="0" fontId="0" fillId="3" borderId="1" xfId="0" applyFill="1" applyBorder="1"/>
    <xf numFmtId="0" fontId="0" fillId="4" borderId="1" xfId="0" applyFill="1" applyBorder="1"/>
    <xf numFmtId="0" fontId="7" fillId="5" borderId="1" xfId="0" applyFont="1" applyFill="1" applyBorder="1" applyAlignment="1">
      <alignment horizontal="center" vertical="center"/>
    </xf>
    <xf numFmtId="1" fontId="5" fillId="2" borderId="1" xfId="0" applyNumberFormat="1" applyFont="1" applyFill="1" applyBorder="1" applyAlignment="1">
      <alignment horizontal="center" vertical="center"/>
    </xf>
    <xf numFmtId="1" fontId="8" fillId="3" borderId="1" xfId="0" applyNumberFormat="1" applyFont="1" applyFill="1" applyBorder="1" applyAlignment="1">
      <alignment horizontal="center" vertical="center"/>
    </xf>
    <xf numFmtId="1" fontId="9" fillId="4" borderId="1" xfId="0" applyNumberFormat="1" applyFont="1" applyFill="1" applyBorder="1" applyAlignment="1">
      <alignment horizontal="center" vertical="center"/>
    </xf>
    <xf numFmtId="164" fontId="9" fillId="4" borderId="1" xfId="0" applyNumberFormat="1" applyFont="1" applyFill="1" applyBorder="1" applyAlignment="1">
      <alignment horizontal="center" vertical="center"/>
    </xf>
    <xf numFmtId="0" fontId="10" fillId="0" borderId="0" xfId="0" applyFont="1"/>
    <xf numFmtId="0" fontId="9" fillId="0" borderId="0" xfId="0" applyFont="1" applyAlignment="1">
      <alignment horizontal="left" vertical="top" wrapText="1"/>
    </xf>
    <xf numFmtId="0" fontId="4" fillId="0" borderId="0" xfId="0" applyFont="1" applyAlignment="1">
      <alignment horizontal="right" vertical="center"/>
    </xf>
    <xf numFmtId="0" fontId="4" fillId="6" borderId="1" xfId="0" applyFont="1" applyFill="1" applyBorder="1" applyAlignment="1">
      <alignment horizontal="right"/>
    </xf>
    <xf numFmtId="0" fontId="7" fillId="5" borderId="1" xfId="0" applyFont="1" applyFill="1" applyBorder="1" applyAlignment="1">
      <alignment horizontal="right" vertical="center"/>
    </xf>
    <xf numFmtId="0" fontId="0" fillId="4" borderId="0" xfId="0" applyFill="1"/>
    <xf numFmtId="0" fontId="3" fillId="0" borderId="0" xfId="0" applyFont="1" applyAlignment="1">
      <alignment horizontal="right"/>
    </xf>
    <xf numFmtId="0" fontId="6" fillId="0" borderId="0" xfId="0" applyFont="1" applyAlignment="1">
      <alignment horizontal="left" vertical="center"/>
    </xf>
    <xf numFmtId="0" fontId="0" fillId="0" borderId="0" xfId="0"/>
    <xf numFmtId="0" fontId="1" fillId="0" borderId="0" xfId="0" applyFont="1"/>
    <xf numFmtId="0" fontId="2" fillId="0" borderId="0" xfId="0" applyFont="1"/>
  </cellXfs>
  <cellStyles count="1">
    <cellStyle name="Normal" xfId="0" builtinId="0"/>
  </cellStyles>
  <dxfs count="1">
    <dxf>
      <font>
        <sz val="10"/>
        <color rgb="FF9C0006"/>
        <name val="Arial"/>
      </font>
      <fill>
        <patternFill patternType="solid">
          <f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J18"/>
  <sheetViews>
    <sheetView showGridLines="0" tabSelected="1" workbookViewId="0">
      <selection activeCell="C21" sqref="C21"/>
    </sheetView>
  </sheetViews>
  <sheetFormatPr baseColWidth="10" defaultColWidth="8.83203125" defaultRowHeight="15" x14ac:dyDescent="0.2"/>
  <cols>
    <col min="1" max="1" width="2.5" customWidth="1"/>
    <col min="2" max="2" width="30" customWidth="1"/>
    <col min="3" max="10" width="12.5" customWidth="1"/>
  </cols>
  <sheetData>
    <row r="1" spans="2:10" ht="22" customHeight="1" x14ac:dyDescent="0.2">
      <c r="B1" s="19" t="s">
        <v>0</v>
      </c>
      <c r="C1" s="18"/>
      <c r="D1" s="18"/>
      <c r="E1" s="18"/>
      <c r="F1" s="18"/>
      <c r="G1" s="18"/>
      <c r="H1" s="18"/>
      <c r="I1" s="18"/>
      <c r="J1" s="18"/>
    </row>
    <row r="2" spans="2:10" x14ac:dyDescent="0.2">
      <c r="B2" s="20" t="s">
        <v>1</v>
      </c>
      <c r="C2" s="18"/>
      <c r="D2" s="18"/>
      <c r="E2" s="18"/>
      <c r="F2" s="18"/>
      <c r="G2" s="18"/>
      <c r="H2" s="18"/>
      <c r="I2" s="18"/>
      <c r="J2" s="18"/>
    </row>
    <row r="4" spans="2:10" x14ac:dyDescent="0.2">
      <c r="B4" s="16" t="s">
        <v>2</v>
      </c>
      <c r="C4" s="1"/>
    </row>
    <row r="5" spans="2:10" x14ac:dyDescent="0.2">
      <c r="B5" s="16" t="s">
        <v>3</v>
      </c>
      <c r="C5" s="3"/>
      <c r="E5" s="2"/>
      <c r="F5" s="15"/>
      <c r="G5" s="2"/>
    </row>
    <row r="6" spans="2:10" x14ac:dyDescent="0.2">
      <c r="B6" s="16" t="s">
        <v>4</v>
      </c>
      <c r="C6" s="4"/>
      <c r="E6" s="2"/>
      <c r="F6" s="15"/>
      <c r="G6" s="2"/>
    </row>
    <row r="7" spans="2:10" x14ac:dyDescent="0.2">
      <c r="C7" s="2"/>
      <c r="E7" s="2"/>
      <c r="G7" s="2"/>
    </row>
    <row r="8" spans="2:10" ht="26" customHeight="1" x14ac:dyDescent="0.2">
      <c r="B8" s="12" t="s">
        <v>5</v>
      </c>
      <c r="C8" s="6">
        <v>50</v>
      </c>
      <c r="D8" s="17" t="s">
        <v>6</v>
      </c>
      <c r="E8" s="18"/>
      <c r="F8" s="18"/>
      <c r="G8" s="18"/>
      <c r="H8" s="18"/>
      <c r="I8" s="18"/>
      <c r="J8" s="18"/>
    </row>
    <row r="10" spans="2:10" x14ac:dyDescent="0.2">
      <c r="B10" s="14" t="s">
        <v>7</v>
      </c>
      <c r="C10" s="5">
        <v>1</v>
      </c>
      <c r="D10" s="5">
        <v>2</v>
      </c>
      <c r="E10" s="5">
        <v>3</v>
      </c>
      <c r="F10" s="5">
        <v>4</v>
      </c>
      <c r="G10" s="5">
        <v>5</v>
      </c>
      <c r="H10" s="5">
        <v>6</v>
      </c>
      <c r="I10" s="5">
        <v>7</v>
      </c>
      <c r="J10" s="5">
        <v>8</v>
      </c>
    </row>
    <row r="12" spans="2:10" x14ac:dyDescent="0.2">
      <c r="B12" s="13" t="s">
        <v>8</v>
      </c>
      <c r="C12" s="6">
        <v>4</v>
      </c>
      <c r="D12" s="6">
        <v>33</v>
      </c>
      <c r="E12" s="6">
        <v>63</v>
      </c>
      <c r="F12" s="6">
        <v>93</v>
      </c>
      <c r="G12" s="6">
        <v>123</v>
      </c>
      <c r="H12" s="6">
        <v>124</v>
      </c>
      <c r="I12" s="6">
        <v>125</v>
      </c>
      <c r="J12" s="7">
        <v>126</v>
      </c>
    </row>
    <row r="13" spans="2:10" x14ac:dyDescent="0.2">
      <c r="B13" s="13" t="s">
        <v>9</v>
      </c>
      <c r="C13" s="8">
        <f t="shared" ref="C13:J13" si="0">IF(C12=0,0,2*(C12+3-FLOOR((C12+17)/39,1)))</f>
        <v>14</v>
      </c>
      <c r="D13" s="8">
        <f t="shared" si="0"/>
        <v>70</v>
      </c>
      <c r="E13" s="8">
        <f t="shared" si="0"/>
        <v>128</v>
      </c>
      <c r="F13" s="8">
        <f t="shared" si="0"/>
        <v>188</v>
      </c>
      <c r="G13" s="8">
        <f t="shared" si="0"/>
        <v>246</v>
      </c>
      <c r="H13" s="8">
        <f t="shared" si="0"/>
        <v>248</v>
      </c>
      <c r="I13" s="8">
        <f t="shared" si="0"/>
        <v>250</v>
      </c>
      <c r="J13" s="8">
        <f t="shared" si="0"/>
        <v>252</v>
      </c>
    </row>
    <row r="14" spans="2:10" x14ac:dyDescent="0.2">
      <c r="B14" s="13" t="s">
        <v>10</v>
      </c>
      <c r="C14" s="8">
        <f t="shared" ref="C14:J14" si="1">C13-1</f>
        <v>13</v>
      </c>
      <c r="D14" s="8">
        <f t="shared" si="1"/>
        <v>69</v>
      </c>
      <c r="E14" s="8">
        <f t="shared" si="1"/>
        <v>127</v>
      </c>
      <c r="F14" s="8">
        <f t="shared" si="1"/>
        <v>187</v>
      </c>
      <c r="G14" s="8">
        <f t="shared" si="1"/>
        <v>245</v>
      </c>
      <c r="H14" s="8">
        <f t="shared" si="1"/>
        <v>247</v>
      </c>
      <c r="I14" s="8">
        <f t="shared" si="1"/>
        <v>249</v>
      </c>
      <c r="J14" s="8">
        <f t="shared" si="1"/>
        <v>251</v>
      </c>
    </row>
    <row r="15" spans="2:10" x14ac:dyDescent="0.2">
      <c r="B15" s="13" t="s">
        <v>11</v>
      </c>
      <c r="C15" s="9">
        <f t="shared" ref="C15:J15" si="2">C12*($C$8/126)</f>
        <v>1.5873015873015872</v>
      </c>
      <c r="D15" s="9">
        <f t="shared" si="2"/>
        <v>13.095238095238095</v>
      </c>
      <c r="E15" s="9">
        <f t="shared" si="2"/>
        <v>25</v>
      </c>
      <c r="F15" s="9">
        <f t="shared" si="2"/>
        <v>36.904761904761905</v>
      </c>
      <c r="G15" s="9">
        <f t="shared" si="2"/>
        <v>48.80952380952381</v>
      </c>
      <c r="H15" s="9">
        <f t="shared" si="2"/>
        <v>49.206349206349202</v>
      </c>
      <c r="I15" s="9">
        <f t="shared" si="2"/>
        <v>49.603174603174601</v>
      </c>
      <c r="J15" s="9">
        <f t="shared" si="2"/>
        <v>50</v>
      </c>
    </row>
    <row r="16" spans="2:10" x14ac:dyDescent="0.2">
      <c r="B16" s="13" t="s">
        <v>12</v>
      </c>
      <c r="C16" s="8">
        <f t="shared" ref="C16:J16" si="3">ROUND(C15,0)</f>
        <v>2</v>
      </c>
      <c r="D16" s="8">
        <f t="shared" si="3"/>
        <v>13</v>
      </c>
      <c r="E16" s="8">
        <f t="shared" si="3"/>
        <v>25</v>
      </c>
      <c r="F16" s="8">
        <f t="shared" si="3"/>
        <v>37</v>
      </c>
      <c r="G16" s="8">
        <f t="shared" si="3"/>
        <v>49</v>
      </c>
      <c r="H16" s="8">
        <f t="shared" si="3"/>
        <v>49</v>
      </c>
      <c r="I16" s="8">
        <f t="shared" si="3"/>
        <v>50</v>
      </c>
      <c r="J16" s="8">
        <f t="shared" si="3"/>
        <v>50</v>
      </c>
    </row>
    <row r="18" spans="2:10" x14ac:dyDescent="0.2">
      <c r="B18" s="17" t="s">
        <v>13</v>
      </c>
      <c r="C18" s="18"/>
      <c r="D18" s="18"/>
      <c r="E18" s="18"/>
      <c r="F18" s="18"/>
      <c r="G18" s="18"/>
      <c r="H18" s="18"/>
      <c r="I18" s="18"/>
      <c r="J18" s="18"/>
    </row>
  </sheetData>
  <mergeCells count="4">
    <mergeCell ref="B18:J18"/>
    <mergeCell ref="B1:J1"/>
    <mergeCell ref="B2:J2"/>
    <mergeCell ref="D8:J8"/>
  </mergeCells>
  <conditionalFormatting sqref="D13:J13">
    <cfRule type="expression" dxfId="0" priority="1">
      <formula>D13=C13</formula>
    </cfRule>
  </conditionalFormatting>
  <dataValidations count="2">
    <dataValidation type="decimal" showErrorMessage="1" errorTitle="Invalid Max Speed" error="Enter a positive number of scale mph (1-999)." sqref="C8" xr:uid="{00000000-0002-0000-0000-000000000000}">
      <formula1>1</formula1>
      <formula2>999</formula2>
    </dataValidation>
    <dataValidation type="whole" showErrorMessage="1" errorTitle="Invalid Notch Speed" error="Enter a whole throttle step from 1 to 125 (Notch 8 is fixed at 126)." sqref="C12:I12" xr:uid="{00000000-0002-0000-0000-000001000000}">
      <formula1>1</formula1>
      <formula2>125</formula2>
    </dataValidation>
  </dataValidations>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B19"/>
  <sheetViews>
    <sheetView showGridLines="0" workbookViewId="0"/>
  </sheetViews>
  <sheetFormatPr baseColWidth="10" defaultColWidth="8.83203125" defaultRowHeight="15" x14ac:dyDescent="0.2"/>
  <cols>
    <col min="1" max="1" width="2.5" customWidth="1"/>
    <col min="2" max="2" width="100" customWidth="1"/>
  </cols>
  <sheetData>
    <row r="1" spans="2:2" ht="24" customHeight="1" x14ac:dyDescent="0.2">
      <c r="B1" s="19" t="s">
        <v>14</v>
      </c>
    </row>
    <row r="3" spans="2:2" ht="16" customHeight="1" x14ac:dyDescent="0.2">
      <c r="B3" s="10" t="s">
        <v>15</v>
      </c>
    </row>
    <row r="4" spans="2:2" ht="60" customHeight="1" x14ac:dyDescent="0.2">
      <c r="B4" s="11" t="s">
        <v>16</v>
      </c>
    </row>
    <row r="6" spans="2:2" ht="16" customHeight="1" x14ac:dyDescent="0.2">
      <c r="B6" s="10" t="s">
        <v>17</v>
      </c>
    </row>
    <row r="7" spans="2:2" ht="90" customHeight="1" x14ac:dyDescent="0.2">
      <c r="B7" s="11" t="s">
        <v>18</v>
      </c>
    </row>
    <row r="9" spans="2:2" ht="16" customHeight="1" x14ac:dyDescent="0.2">
      <c r="B9" s="10" t="s">
        <v>19</v>
      </c>
    </row>
    <row r="10" spans="2:2" ht="95" customHeight="1" x14ac:dyDescent="0.2">
      <c r="B10" s="11" t="s">
        <v>20</v>
      </c>
    </row>
    <row r="12" spans="2:2" ht="16" customHeight="1" x14ac:dyDescent="0.2">
      <c r="B12" s="10" t="s">
        <v>21</v>
      </c>
    </row>
    <row r="13" spans="2:2" ht="80" customHeight="1" x14ac:dyDescent="0.2">
      <c r="B13" s="11" t="s">
        <v>22</v>
      </c>
    </row>
    <row r="15" spans="2:2" ht="16" customHeight="1" x14ac:dyDescent="0.2">
      <c r="B15" s="10" t="s">
        <v>23</v>
      </c>
    </row>
    <row r="16" spans="2:2" ht="110" customHeight="1" x14ac:dyDescent="0.2">
      <c r="B16" s="11" t="s">
        <v>24</v>
      </c>
    </row>
    <row r="18" spans="2:2" ht="16" customHeight="1" x14ac:dyDescent="0.2">
      <c r="B18" s="10" t="s">
        <v>25</v>
      </c>
    </row>
    <row r="19" spans="2:2" ht="50" customHeight="1" x14ac:dyDescent="0.2">
      <c r="B19" s="11" t="s">
        <v>26</v>
      </c>
    </row>
  </sheetData>
  <mergeCells count="1">
    <mergeCell ref="B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Calculator</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Tim Benson</cp:lastModifiedBy>
  <dcterms:created xsi:type="dcterms:W3CDTF">2026-09-24T07:22:36Z</dcterms:created>
  <dcterms:modified xsi:type="dcterms:W3CDTF">2026-09-25T03:06:45Z</dcterms:modified>
</cp:coreProperties>
</file>